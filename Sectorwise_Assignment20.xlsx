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ratimahi\Desktop\Shriya\Advanced Excel\"/>
    </mc:Choice>
  </mc:AlternateContent>
  <xr:revisionPtr revIDLastSave="0" documentId="8_{A8B5890A-1375-4D14-B9D8-75375673118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1" l="1"/>
  <c r="G18" i="1"/>
  <c r="G17" i="1"/>
  <c r="G16" i="1"/>
  <c r="G15" i="1"/>
  <c r="G14" i="1"/>
  <c r="G13" i="1"/>
  <c r="G12" i="1"/>
  <c r="G11" i="1"/>
  <c r="G10" i="1"/>
  <c r="F19" i="1"/>
  <c r="F18" i="1"/>
  <c r="F17" i="1"/>
  <c r="F16" i="1"/>
  <c r="F15" i="1"/>
  <c r="F14" i="1"/>
  <c r="F13" i="1"/>
  <c r="F12" i="1"/>
  <c r="F11" i="1"/>
  <c r="F10" i="1"/>
  <c r="E19" i="1"/>
  <c r="E18" i="1"/>
  <c r="E17" i="1"/>
  <c r="E16" i="1"/>
  <c r="E15" i="1"/>
  <c r="E14" i="1"/>
  <c r="E13" i="1"/>
  <c r="E12" i="1"/>
  <c r="E11" i="1"/>
  <c r="E10" i="1"/>
  <c r="D19" i="1"/>
  <c r="D18" i="1"/>
  <c r="D17" i="1"/>
  <c r="D16" i="1"/>
  <c r="D15" i="1"/>
  <c r="D14" i="1"/>
  <c r="D13" i="1"/>
  <c r="D12" i="1"/>
  <c r="D11" i="1"/>
  <c r="D10" i="1"/>
  <c r="C19" i="1"/>
  <c r="C18" i="1"/>
  <c r="C17" i="1"/>
  <c r="C16" i="1"/>
  <c r="C15" i="1"/>
  <c r="C14" i="1"/>
  <c r="C13" i="1"/>
  <c r="C12" i="1"/>
  <c r="C11" i="1"/>
  <c r="C10" i="1"/>
  <c r="B19" i="1"/>
  <c r="B18" i="1"/>
  <c r="B17" i="1"/>
  <c r="B16" i="1"/>
  <c r="B15" i="1"/>
  <c r="B14" i="1"/>
  <c r="B13" i="1"/>
  <c r="B12" i="1"/>
  <c r="B11" i="1"/>
  <c r="B10" i="1"/>
  <c r="B9" i="1"/>
  <c r="G9" i="1"/>
  <c r="F9" i="1"/>
  <c r="D9" i="1"/>
  <c r="E9" i="1"/>
  <c r="C9" i="1"/>
  <c r="B5" i="1"/>
  <c r="A8" i="1" s="1"/>
</calcChain>
</file>

<file path=xl/sharedStrings.xml><?xml version="1.0" encoding="utf-8"?>
<sst xmlns="http://schemas.openxmlformats.org/spreadsheetml/2006/main" count="5" uniqueCount="5">
  <si>
    <t>Loan Amount</t>
  </si>
  <si>
    <t>Interest Rate</t>
  </si>
  <si>
    <t>Loan Tenure (In Months)</t>
  </si>
  <si>
    <t>Monthly Payment (EMI)</t>
  </si>
  <si>
    <t>Loan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</si>
</sst>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8" formatCode="&quot;₹&quot;\ #,##0.00;[Red]&quot;₹&quot;\ \-#,##0.00"/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8"/>
      <color theme="0"/>
      <name val="Century Gothic"/>
      <family val="2"/>
    </font>
    <font>
      <sz val="16"/>
      <name val="Century Gothic"/>
      <family val="2"/>
    </font>
    <font>
      <sz val="14"/>
      <name val="Century Gothic"/>
      <family val="2"/>
    </font>
    <font>
      <sz val="11"/>
      <color theme="1"/>
      <name val="Century Gothic"/>
      <family val="2"/>
    </font>
    <font>
      <sz val="1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7DEB9"/>
        <bgColor indexed="64"/>
      </patternFill>
    </fill>
    <fill>
      <patternFill patternType="solid">
        <fgColor rgb="FF745874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6" fontId="3" fillId="4" borderId="1" xfId="0" applyNumberFormat="1" applyFont="1" applyFill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6" fontId="5" fillId="0" borderId="1" xfId="0" applyNumberFormat="1" applyFont="1" applyBorder="1" applyAlignment="1">
      <alignment vertical="center"/>
    </xf>
    <xf numFmtId="0" fontId="4" fillId="0" borderId="1" xfId="0" applyFont="1" applyBorder="1"/>
    <xf numFmtId="164" fontId="4" fillId="0" borderId="1" xfId="0" applyNumberFormat="1" applyFont="1" applyBorder="1"/>
    <xf numFmtId="8" fontId="5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F2F2"/>
      <color rgb="FFF7DEB9"/>
      <color rgb="FF7458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topLeftCell="A7" zoomScale="129" zoomScaleNormal="100" workbookViewId="0">
      <selection activeCell="H16" sqref="H16"/>
    </sheetView>
  </sheetViews>
  <sheetFormatPr defaultColWidth="9.109375" defaultRowHeight="15" customHeight="1" x14ac:dyDescent="0.3"/>
  <cols>
    <col min="1" max="1" width="33.5546875" style="1" bestFit="1" customWidth="1"/>
    <col min="2" max="2" width="19.6640625" style="1" bestFit="1" customWidth="1"/>
    <col min="3" max="5" width="17" style="1" bestFit="1" customWidth="1"/>
    <col min="6" max="6" width="18.109375" style="1" bestFit="1" customWidth="1"/>
    <col min="7" max="7" width="17" style="1" bestFit="1" customWidth="1"/>
    <col min="8" max="16384" width="9.109375" style="1"/>
  </cols>
  <sheetData>
    <row r="1" spans="1:7" ht="30" customHeight="1" x14ac:dyDescent="0.3">
      <c r="A1" s="7" t="s">
        <v>4</v>
      </c>
      <c r="B1" s="7"/>
    </row>
    <row r="2" spans="1:7" ht="30" customHeight="1" x14ac:dyDescent="0.3">
      <c r="A2" s="3" t="s">
        <v>0</v>
      </c>
      <c r="B2" s="4">
        <v>1000000</v>
      </c>
    </row>
    <row r="3" spans="1:7" ht="30" customHeight="1" x14ac:dyDescent="0.3">
      <c r="A3" s="3" t="s">
        <v>1</v>
      </c>
      <c r="B3" s="5">
        <v>7.0000000000000007E-2</v>
      </c>
    </row>
    <row r="4" spans="1:7" ht="30" customHeight="1" x14ac:dyDescent="0.3">
      <c r="A4" s="3" t="s">
        <v>2</v>
      </c>
      <c r="B4" s="6">
        <v>60</v>
      </c>
    </row>
    <row r="5" spans="1:7" ht="30" customHeight="1" x14ac:dyDescent="0.3">
      <c r="A5" s="3" t="s">
        <v>3</v>
      </c>
      <c r="B5" s="4">
        <f>-PMT(B3/12,B4,B2)</f>
        <v>19801.198540349535</v>
      </c>
    </row>
    <row r="6" spans="1:7" ht="20.100000000000001" customHeight="1" x14ac:dyDescent="0.3"/>
    <row r="7" spans="1:7" ht="20.100000000000001" customHeight="1" x14ac:dyDescent="0.3"/>
    <row r="8" spans="1:7" ht="20.100000000000001" customHeight="1" x14ac:dyDescent="0.25">
      <c r="A8" s="8">
        <f>B5</f>
        <v>19801.198540349535</v>
      </c>
      <c r="B8" s="9">
        <v>60</v>
      </c>
      <c r="C8" s="9">
        <v>72</v>
      </c>
      <c r="D8" s="9">
        <v>84</v>
      </c>
      <c r="E8" s="9">
        <v>96</v>
      </c>
      <c r="F8" s="9">
        <v>108</v>
      </c>
      <c r="G8" s="9">
        <v>120</v>
      </c>
    </row>
    <row r="9" spans="1:7" ht="20.100000000000001" customHeight="1" x14ac:dyDescent="0.25">
      <c r="A9" s="10">
        <v>7.0000000000000007E-2</v>
      </c>
      <c r="B9" s="11">
        <f>PMT(A9/12,B8,-B2)</f>
        <v>19801.198540349535</v>
      </c>
      <c r="C9" s="11">
        <f>PMT(A9/12,C8,-B2)</f>
        <v>17049.006471969617</v>
      </c>
      <c r="D9" s="11">
        <f>PMT(A9/12,D8,-B2)</f>
        <v>15092.679982189393</v>
      </c>
      <c r="E9" s="11">
        <f>PMT(A9/12,E8,-B2)</f>
        <v>13633.717080503149</v>
      </c>
      <c r="F9" s="11">
        <f>PMT(A9/12,F8,-B2)</f>
        <v>12506.276594370744</v>
      </c>
      <c r="G9" s="11">
        <f>PMT(A9/12,G8,-B2)</f>
        <v>11610.847921862405</v>
      </c>
    </row>
    <row r="10" spans="1:7" ht="20.100000000000001" customHeight="1" x14ac:dyDescent="0.25">
      <c r="A10" s="10">
        <v>7.4999999999999997E-2</v>
      </c>
      <c r="B10" s="11">
        <f>PMT(A10/12,B8,-B2)</f>
        <v>20037.948595623762</v>
      </c>
      <c r="C10" s="11">
        <f>PMT(A10/12,C8,-B2)</f>
        <v>17290.112294304283</v>
      </c>
      <c r="D10" s="11">
        <f>PMT(A10/12,D8,-B2)</f>
        <v>15338.275853125047</v>
      </c>
      <c r="E10" s="11">
        <f>PMT(A10/12,E8,-B2)</f>
        <v>13883.870568113365</v>
      </c>
      <c r="F10" s="11">
        <f>PMT(A10/12,F8,-B2)</f>
        <v>12761.016184401247</v>
      </c>
      <c r="G10" s="11">
        <f>PMT(A10/12,G8,-B2)</f>
        <v>11870.176913585423</v>
      </c>
    </row>
    <row r="11" spans="1:7" ht="20.100000000000001" customHeight="1" x14ac:dyDescent="0.25">
      <c r="A11" s="10">
        <v>0.08</v>
      </c>
      <c r="B11" s="11">
        <f>PMT(A11/12,B8,-B2)</f>
        <v>20276.394288413681</v>
      </c>
      <c r="C11" s="11">
        <f>PMT(A11/12,C8,-B2)</f>
        <v>17533.240611952791</v>
      </c>
      <c r="D11" s="11">
        <f>PMT(A11/12,D8,-B2)</f>
        <v>15586.214402669542</v>
      </c>
      <c r="E11" s="11">
        <f>PMT(A11/12,E8,-B2)</f>
        <v>14136.679254544804</v>
      </c>
      <c r="F11" s="11">
        <f>PMT(A11/12,F8,-B2)</f>
        <v>13018.714887236214</v>
      </c>
      <c r="G11" s="11">
        <f>PMT(A11/12,G8,-B2)</f>
        <v>12132.759435535692</v>
      </c>
    </row>
    <row r="12" spans="1:7" ht="20.100000000000001" customHeight="1" x14ac:dyDescent="0.25">
      <c r="A12" s="10">
        <v>8.5000000000000006E-2</v>
      </c>
      <c r="B12" s="11">
        <f>PMT(A12/12,B8,-B2)</f>
        <v>20516.531327051249</v>
      </c>
      <c r="C12" s="11">
        <f>PMT(A12/12,C8,-B2)</f>
        <v>17778.384615269886</v>
      </c>
      <c r="D12" s="11">
        <f>PMT(A12/12,D8,-B2)</f>
        <v>15836.485437140695</v>
      </c>
      <c r="E12" s="11">
        <f>PMT(A12/12,E8,-B2)</f>
        <v>14392.12858329532</v>
      </c>
      <c r="F12" s="11">
        <f>PMT(A12/12,F8,-B2)</f>
        <v>13279.352705622907</v>
      </c>
      <c r="G12" s="11">
        <f>PMT(A12/12,G8,-B2)</f>
        <v>12398.568887451112</v>
      </c>
    </row>
    <row r="13" spans="1:7" ht="20.100000000000001" customHeight="1" x14ac:dyDescent="0.25">
      <c r="A13" s="10">
        <v>0.09</v>
      </c>
      <c r="B13" s="11">
        <f>PMT(A13/12,B8,-B2)</f>
        <v>20758.355226354008</v>
      </c>
      <c r="C13" s="11">
        <f>PMT(A13/12,C8,-B2)</f>
        <v>18025.537168271836</v>
      </c>
      <c r="D13" s="11">
        <f>PMT(A13/12,D8,-B2)</f>
        <v>16089.07826003855</v>
      </c>
      <c r="E13" s="11">
        <f>PMT(A13/12,E8,-B2)</f>
        <v>14650.203273692967</v>
      </c>
      <c r="F13" s="11">
        <f>PMT(A13/12,F8,-B2)</f>
        <v>13542.908653137254</v>
      </c>
      <c r="G13" s="11">
        <f>PMT(A13/12,G8,-B2)</f>
        <v>12667.577375024948</v>
      </c>
    </row>
    <row r="14" spans="1:7" ht="20.100000000000001" customHeight="1" x14ac:dyDescent="0.25">
      <c r="A14" s="10">
        <v>9.5000000000000001E-2</v>
      </c>
      <c r="B14" s="11">
        <f>PMT(A14/12,B8,-B2)</f>
        <v>21001.86130971551</v>
      </c>
      <c r="C14" s="11">
        <f>PMT(A14/12,C8,-B2)</f>
        <v>18274.690813285928</v>
      </c>
      <c r="D14" s="11">
        <f>PMT(A14/12,D8,-B2)</f>
        <v>16343.981681298421</v>
      </c>
      <c r="E14" s="11">
        <f>PMT(A14/12,E8,-B2)</f>
        <v>14910.88733777991</v>
      </c>
      <c r="F14" s="11">
        <f>PMT(A14/12,F8,-B2)</f>
        <v>13809.360782916523</v>
      </c>
      <c r="G14" s="11">
        <f>PMT(A14/12,G8,-B2)</f>
        <v>12939.755756077704</v>
      </c>
    </row>
    <row r="15" spans="1:7" ht="20.100000000000001" customHeight="1" x14ac:dyDescent="0.25">
      <c r="A15" s="10">
        <v>9.9999999999999895E-2</v>
      </c>
      <c r="B15" s="11">
        <f>PMT(A15/12,B8,-B2)</f>
        <v>21247.044711268267</v>
      </c>
      <c r="C15" s="11">
        <f>PMT(A15/12,C8,-B2)</f>
        <v>18525.837775770473</v>
      </c>
      <c r="D15" s="11">
        <f>PMT(A15/12,D8,-B2)</f>
        <v>16601.184026885905</v>
      </c>
      <c r="E15" s="11">
        <f>PMT(A15/12,E8,-B2)</f>
        <v>15174.164097804325</v>
      </c>
      <c r="F15" s="11">
        <f>PMT(A15/12,F8,-B2)</f>
        <v>14078.686217371222</v>
      </c>
      <c r="G15" s="11">
        <f>PMT(A15/12,G8,-B2)</f>
        <v>13215.073688176159</v>
      </c>
    </row>
    <row r="16" spans="1:7" ht="20.100000000000001" customHeight="1" x14ac:dyDescent="0.25">
      <c r="A16" s="10">
        <v>0.105</v>
      </c>
      <c r="B16" s="11">
        <f>PMT(A16/12,B8,-B2)</f>
        <v>21493.900378117458</v>
      </c>
      <c r="C16" s="11">
        <f>PMT(A16/12,C8,-B2)</f>
        <v>18778.969969299451</v>
      </c>
      <c r="D16" s="11">
        <f>PMT(A16/12,D8,-B2)</f>
        <v>16860.673148718637</v>
      </c>
      <c r="E16" s="11">
        <f>PMT(A16/12,E8,-B2)</f>
        <v>15440.01620428457</v>
      </c>
      <c r="F16" s="11">
        <f>PMT(A16/12,F8,-B2)</f>
        <v>14350.861178801068</v>
      </c>
      <c r="G16" s="11">
        <f>PMT(A16/12,G8,-B2)</f>
        <v>13493.499677554697</v>
      </c>
    </row>
    <row r="17" spans="1:7" ht="20.100000000000001" customHeight="1" x14ac:dyDescent="0.25">
      <c r="A17" s="10">
        <v>0.11</v>
      </c>
      <c r="B17" s="11">
        <f>PMT(A17/12,B8,-B2)</f>
        <v>21742.423072643305</v>
      </c>
      <c r="C17" s="11">
        <f>PMT(A17/12,C8,-B2)</f>
        <v>19034.079000705802</v>
      </c>
      <c r="D17" s="11">
        <f>PMT(A17/12,D8,-B2)</f>
        <v>17122.436434898758</v>
      </c>
      <c r="E17" s="11">
        <f>PMT(A17/12,E8,-B2)</f>
        <v>15708.425654608758</v>
      </c>
      <c r="F17" s="11">
        <f>PMT(A17/12,F8,-B2)</f>
        <v>14625.861020838356</v>
      </c>
      <c r="G17" s="11">
        <f>PMT(A17/12,G8,-B2)</f>
        <v>13775.001129192249</v>
      </c>
    </row>
    <row r="18" spans="1:7" ht="20.100000000000001" customHeight="1" x14ac:dyDescent="0.25">
      <c r="A18" s="10">
        <v>0.115</v>
      </c>
      <c r="B18" s="11">
        <f>PMT(A18/12,B8,-B2)</f>
        <v>21992.607374870397</v>
      </c>
      <c r="C18" s="11">
        <f>PMT(A18/12,C8,-B2)</f>
        <v>19291.15617537736</v>
      </c>
      <c r="D18" s="11">
        <f>PMT(A18/12,D8,-B2)</f>
        <v>17386.460820240132</v>
      </c>
      <c r="E18" s="11">
        <f>PMT(A18/12,E8,-B2)</f>
        <v>15979.373812132759</v>
      </c>
      <c r="F18" s="11">
        <f>PMT(A18/12,F8,-B2)</f>
        <v>14903.660260641596</v>
      </c>
      <c r="G18" s="11">
        <f>PMT(A18/12,G8,-B2)</f>
        <v>14059.544397898031</v>
      </c>
    </row>
    <row r="19" spans="1:7" ht="20.100000000000001" customHeight="1" x14ac:dyDescent="0.25">
      <c r="A19" s="10">
        <v>0.12</v>
      </c>
      <c r="B19" s="11">
        <f>PMT(A19/12,B8,-B2)</f>
        <v>22244.44768490177</v>
      </c>
      <c r="C19" s="11">
        <f>PMT(A19/12,C8,-B2)</f>
        <v>19550.192502699043</v>
      </c>
      <c r="D19" s="11">
        <f>PMT(A19/12,D8,-B2)</f>
        <v>17652.732797073819</v>
      </c>
      <c r="E19" s="11">
        <f>PMT(A19/12,E8,-B2)</f>
        <v>16252.841425738672</v>
      </c>
      <c r="F19" s="11">
        <f>PMT(A19/12,F8,-B2)</f>
        <v>15184.232611761468</v>
      </c>
      <c r="G19" s="11">
        <f>PMT(A19/12,G8,-B2)</f>
        <v>14347.094840258738</v>
      </c>
    </row>
    <row r="20" spans="1:7" ht="15" customHeight="1" x14ac:dyDescent="0.3">
      <c r="A20" s="2"/>
    </row>
    <row r="21" spans="1:7" ht="15" customHeight="1" x14ac:dyDescent="0.3">
      <c r="A21" s="2"/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Shahaney</dc:creator>
  <cp:lastModifiedBy>pratiksha shetty</cp:lastModifiedBy>
  <dcterms:created xsi:type="dcterms:W3CDTF">2016-01-11T05:14:21Z</dcterms:created>
  <dcterms:modified xsi:type="dcterms:W3CDTF">2025-11-27T05:56:44Z</dcterms:modified>
</cp:coreProperties>
</file>