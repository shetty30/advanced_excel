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atimahi\Desktop\Shriya\Advanced Excel\"/>
    </mc:Choice>
  </mc:AlternateContent>
  <xr:revisionPtr revIDLastSave="0" documentId="8_{1466FE39-A4B9-4049-98A4-039EFA2746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<sst xmlns="http://schemas.openxmlformats.org/spreadsheetml/2006/main" count="122" uniqueCount="64">
  <si>
    <t>Order Date</t>
  </si>
  <si>
    <t>Customer Name</t>
  </si>
  <si>
    <t>Customer Segment</t>
  </si>
  <si>
    <t>Product Category</t>
  </si>
  <si>
    <t>Product Sub-Category</t>
  </si>
  <si>
    <t>Product Name</t>
  </si>
  <si>
    <t>Muhammed MacIntyre</t>
  </si>
  <si>
    <t>Small Business</t>
  </si>
  <si>
    <t>Office Supplies</t>
  </si>
  <si>
    <t>Storage &amp; Organization</t>
  </si>
  <si>
    <t>Eldon Base for stackable storage shelf, platinum</t>
  </si>
  <si>
    <t>Barry French</t>
  </si>
  <si>
    <t>Consumer</t>
  </si>
  <si>
    <t>Appliances</t>
  </si>
  <si>
    <t>1.7 Cubic Foot Compact "Cube" Office Refrigerators</t>
  </si>
  <si>
    <t>Binders and Binder Accessories</t>
  </si>
  <si>
    <t>Cardinal Slant-D® Ring Binder, Heavy Gauge Vinyl</t>
  </si>
  <si>
    <t>Clay Rozendal</t>
  </si>
  <si>
    <t>Corporate</t>
  </si>
  <si>
    <t>Technology</t>
  </si>
  <si>
    <t>Telephones and Communication</t>
  </si>
  <si>
    <t>R380</t>
  </si>
  <si>
    <t>Carlos Soltero</t>
  </si>
  <si>
    <t>Holmes HEPA Air Purifier</t>
  </si>
  <si>
    <t>Furniture</t>
  </si>
  <si>
    <t>Office Furnishings</t>
  </si>
  <si>
    <t>G.E. Longer-Life Indoor Recessed Floodlight Bulbs</t>
  </si>
  <si>
    <t>Carl Jackson</t>
  </si>
  <si>
    <t>Angle-D Binders with Locking Rings, Label Holders</t>
  </si>
  <si>
    <t>SAFCO Mobile Desk Side File, Wire Frame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</si>
  <si>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</si>
  <si>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</si>
  <si>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</si>
  <si>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</si>
  <si>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</si>
  <si>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</si>
  <si>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Neola Schneider</t>
  </si>
  <si>
    <t>Xerox 1980</t>
  </si>
  <si>
    <t>Rubber Bands</t>
  </si>
  <si>
    <t>Advantus Map Pennant Flags and Round Head Tacks</t>
  </si>
  <si>
    <t>Carlos Daly</t>
  </si>
  <si>
    <t>Computer Peripherals</t>
  </si>
  <si>
    <t>DS/HD IBM Formatted Diskettes, 200/Pack - Staples</t>
  </si>
  <si>
    <t>Claudia Miner</t>
  </si>
  <si>
    <t>Wilson Jones 1" Hanging DublLock® Ring Binders</t>
  </si>
  <si>
    <t>Ultra Commercial Grade Dual Valve Door Closer</t>
  </si>
  <si>
    <t>Allen Rosenblatt</t>
  </si>
  <si>
    <t>Envelopes</t>
  </si>
  <si>
    <t>#10-4 1/8" x 9 1/2" Premium Diagonal Seam Envelopes</t>
  </si>
  <si>
    <t>Sylvia Foulston</t>
  </si>
  <si>
    <t>Bookcases</t>
  </si>
  <si>
    <t>Hon 4-Shelf Metal Bookcases</t>
  </si>
  <si>
    <t>Tables</t>
  </si>
  <si>
    <t>Jim Radford</t>
  </si>
  <si>
    <t>g520</t>
  </si>
  <si>
    <t>Order Value</t>
  </si>
  <si>
    <t>Lesro Sheffield Collection Coffee Table, End Table, Center Table</t>
  </si>
  <si>
    <t>Order No.</t>
  </si>
  <si>
    <t>DELTA SALES CORPORATION</t>
  </si>
  <si>
    <t>EAST ZONE ORDER INFORMATION</t>
  </si>
  <si>
    <t>Column Labels</t>
  </si>
  <si>
    <t>Grand Total</t>
  </si>
  <si>
    <t>Row Labels</t>
  </si>
  <si>
    <t>Sum of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</si>
</sst>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haroni"/>
      <charset val="177"/>
    </font>
    <font>
      <b/>
      <sz val="10"/>
      <color theme="0"/>
      <name val="MS Sans Serif"/>
      <family val="2"/>
    </font>
    <font>
      <sz val="18"/>
      <color theme="0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quotePrefix="1"/>
    <xf numFmtId="14" fontId="0" fillId="0" borderId="0" xfId="1" quotePrefix="1" applyNumberFormat="1" applyFont="1" applyFill="1"/>
    <xf numFmtId="0" fontId="0" fillId="0" borderId="1" xfId="0" quotePrefix="1" applyBorder="1"/>
    <xf numFmtId="14" fontId="0" fillId="0" borderId="1" xfId="1" quotePrefix="1" applyNumberFormat="1" applyFont="1" applyFill="1" applyBorder="1"/>
    <xf numFmtId="0" fontId="0" fillId="0" borderId="1" xfId="0" applyBorder="1"/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left" vertical="center" wrapText="1"/>
    </xf>
    <xf numFmtId="0" fontId="0" fillId="0" borderId="1" xfId="0" quotePrefix="1" applyBorder="1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24.xlsx]Sheet2!PivotTable1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1146.69</c:v>
                </c:pt>
                <c:pt idx="2">
                  <c:v>6941.503999999999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8-4A05-94E7-DF88158E12A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10761.86</c:v>
                </c:pt>
                <c:pt idx="1">
                  <c:v>3780.44</c:v>
                </c:pt>
                <c:pt idx="2">
                  <c:v>1266.6599999999999</c:v>
                </c:pt>
                <c:pt idx="3">
                  <c:v>590.41000000000008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8-4A05-94E7-DF88158E12A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1">
                  <c:v>5800.6634999999987</c:v>
                </c:pt>
                <c:pt idx="2">
                  <c:v>1474.33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38-4A05-94E7-DF88158E1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638047"/>
        <c:axId val="268627487"/>
      </c:barChart>
      <c:catAx>
        <c:axId val="26863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27487"/>
        <c:crosses val="autoZero"/>
        <c:auto val="1"/>
        <c:lblAlgn val="ctr"/>
        <c:lblOffset val="100"/>
        <c:noMultiLvlLbl val="0"/>
      </c:catAx>
      <c:valAx>
        <c:axId val="26862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3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5</xdr:row>
      <xdr:rowOff>68580</xdr:rowOff>
    </xdr:from>
    <xdr:to>
      <xdr:col>13</xdr:col>
      <xdr:colOff>281940</xdr:colOff>
      <xdr:row>20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06AE6-595C-081D-E23F-7B9B23EC0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mahi" refreshedDate="45991.463914930559" createdVersion="8" refreshedVersion="8" minRefreshableVersion="3" recordCount="20" xr:uid="{565E089A-EF81-49F5-A81B-EA32870D42C5}">
  <cacheSource type="worksheet">
    <worksheetSource ref="A3:H23" sheet="Sheet1"/>
  </cacheSource>
  <cacheFields count="8">
    <cacheField name="Order No." numFmtId="0">
      <sharedItems containsSemiMixedTypes="0" containsString="0" containsNumber="1" containsInteger="1" minValue="1" maxValue="20"/>
    </cacheField>
    <cacheField name="Order Date" numFmtId="14">
      <sharedItems containsSemiMixedTypes="0" containsNonDate="0" containsDate="1" containsString="0" minDate="2009-11-25T00:00:00" maxDate="2012-10-02T00:00:00"/>
    </cacheField>
    <cacheField name="Order Value" numFmtId="0">
      <sharedItems containsSemiMixedTypes="0" containsString="0" containsNumber="1" minValue="80.61" maxValue="10123.02"/>
    </cacheField>
    <cacheField name="Customer Name" numFmtId="0">
      <sharedItems/>
    </cacheField>
    <cacheField name="Customer Segment" numFmtId="0">
      <sharedItems count="4">
        <s v="Small Business"/>
        <s v="Consumer"/>
        <s v="Corporate"/>
        <s v="Home Office"/>
      </sharedItems>
    </cacheField>
    <cacheField name="Product Category" numFmtId="0">
      <sharedItems count="3">
        <s v="Office Supplies"/>
        <s v="Technology"/>
        <s v="Furniture"/>
      </sharedItems>
    </cacheField>
    <cacheField name="Product Sub-Category" numFmtId="0">
      <sharedItems/>
    </cacheField>
    <cacheField name="Product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d v="2010-10-13T00:00:00"/>
    <n v="261.54000000000002"/>
    <s v="Muhammed MacIntyre"/>
    <x v="0"/>
    <x v="0"/>
    <s v="Storage &amp; Organization"/>
    <s v="Eldon Base for stackable storage shelf, platinum"/>
  </r>
  <r>
    <n v="2"/>
    <d v="2012-10-01T00:00:00"/>
    <n v="10123.02"/>
    <s v="Barry French"/>
    <x v="1"/>
    <x v="0"/>
    <s v="Appliances"/>
    <s v="1.7 Cubic Foot Compact &quot;Cube&quot; Office Refrigerators"/>
  </r>
  <r>
    <n v="3"/>
    <d v="2012-10-01T00:00:00"/>
    <n v="244.57"/>
    <s v="Barry French"/>
    <x v="1"/>
    <x v="0"/>
    <s v="Binders and Binder Accessories"/>
    <s v="Cardinal Slant-D® Ring Binder, Heavy Gauge Vinyl"/>
  </r>
  <r>
    <n v="4"/>
    <d v="2011-07-10T00:00:00"/>
    <n v="4965.7594999999992"/>
    <s v="Clay Rozendal"/>
    <x v="2"/>
    <x v="1"/>
    <s v="Telephones and Communication"/>
    <s v="R380"/>
  </r>
  <r>
    <n v="5"/>
    <d v="2010-08-28T00:00:00"/>
    <n v="394.27"/>
    <s v="Carlos Soltero"/>
    <x v="1"/>
    <x v="0"/>
    <s v="Appliances"/>
    <s v="Holmes HEPA Air Purifier"/>
  </r>
  <r>
    <n v="6"/>
    <d v="2010-08-28T00:00:00"/>
    <n v="1146.69"/>
    <s v="Carlos Soltero"/>
    <x v="1"/>
    <x v="2"/>
    <s v="Office Furnishings"/>
    <s v="G.E. Longer-Life Indoor Recessed Floodlight Bulbs"/>
  </r>
  <r>
    <n v="7"/>
    <d v="2011-06-17T00:00:00"/>
    <n v="93.54"/>
    <s v="Carl Jackson"/>
    <x v="2"/>
    <x v="0"/>
    <s v="Binders and Binder Accessories"/>
    <s v="Angle-D Binders with Locking Rings, Label Holders"/>
  </r>
  <r>
    <n v="8"/>
    <d v="2011-06-17T00:00:00"/>
    <n v="905.08"/>
    <s v="Carl Jackson"/>
    <x v="2"/>
    <x v="0"/>
    <s v="Storage &amp; Organization"/>
    <s v="SAFCO Mobile Desk Side File, Wire Frame"/>
  </r>
  <r>
    <n v="9"/>
    <d v="2011-03-24T00:00:00"/>
    <n v="2781.82"/>
    <s v="Monica Federle"/>
    <x v="2"/>
    <x v="0"/>
    <s v="Storage &amp; Organization"/>
    <s v="SAFCO Commercial Wire Shelving, Black"/>
  </r>
  <r>
    <n v="10"/>
    <d v="2010-02-26T00:00:00"/>
    <n v="228.41"/>
    <s v="Dorothy Badders"/>
    <x v="3"/>
    <x v="0"/>
    <s v="Paper"/>
    <s v="Xerox 198"/>
  </r>
  <r>
    <n v="11"/>
    <d v="2010-11-23T00:00:00"/>
    <n v="196.85"/>
    <s v="Neola Schneider"/>
    <x v="3"/>
    <x v="0"/>
    <s v="Paper"/>
    <s v="Xerox 1980"/>
  </r>
  <r>
    <n v="12"/>
    <d v="2010-11-23T00:00:00"/>
    <n v="124.56"/>
    <s v="Neola Schneider"/>
    <x v="3"/>
    <x v="0"/>
    <s v="Rubber Bands"/>
    <s v="Advantus Map Pennant Flags and Round Head Tacks"/>
  </r>
  <r>
    <n v="13"/>
    <d v="2012-06-08T00:00:00"/>
    <n v="716.84"/>
    <s v="Carlos Daly"/>
    <x v="3"/>
    <x v="0"/>
    <s v="Appliances"/>
    <s v="Holmes HEPA Air Purifier"/>
  </r>
  <r>
    <n v="14"/>
    <d v="2012-06-08T00:00:00"/>
    <n v="1474.33"/>
    <s v="Carlos Daly"/>
    <x v="3"/>
    <x v="1"/>
    <s v="Computer Peripherals"/>
    <s v="DS/HD IBM Formatted Diskettes, 200/Pack - Staples"/>
  </r>
  <r>
    <n v="15"/>
    <d v="2012-08-04T00:00:00"/>
    <n v="80.61"/>
    <s v="Claudia Miner"/>
    <x v="0"/>
    <x v="0"/>
    <s v="Binders and Binder Accessories"/>
    <s v="Wilson Jones 1&quot; Hanging DublLock® Ring Binders"/>
  </r>
  <r>
    <n v="16"/>
    <d v="2011-05-30T00:00:00"/>
    <n v="1815.49"/>
    <s v="Neola Schneider"/>
    <x v="3"/>
    <x v="2"/>
    <s v="Office Furnishings"/>
    <s v="Ultra Commercial Grade Dual Valve Door Closer"/>
  </r>
  <r>
    <n v="17"/>
    <d v="2009-11-25T00:00:00"/>
    <n v="248.26"/>
    <s v="Allen Rosenblatt"/>
    <x v="0"/>
    <x v="0"/>
    <s v="Envelopes"/>
    <s v="#10-4 1/8&quot; x 9 1/2&quot; Premium Diagonal Seam Envelopes"/>
  </r>
  <r>
    <n v="18"/>
    <d v="2012-02-14T00:00:00"/>
    <n v="4462.2299999999996"/>
    <s v="Sylvia Foulston"/>
    <x v="3"/>
    <x v="2"/>
    <s v="Bookcases"/>
    <s v="Hon 4-Shelf Metal Bookcases"/>
  </r>
  <r>
    <n v="19"/>
    <d v="2012-02-14T00:00:00"/>
    <n v="663.78400000000011"/>
    <s v="Sylvia Foulston"/>
    <x v="3"/>
    <x v="2"/>
    <s v="Tables"/>
    <s v="Lesro Sheffield Collection Coffee Table, End Table, Center Table"/>
  </r>
  <r>
    <n v="20"/>
    <d v="2012-04-15T00:00:00"/>
    <n v="834.904"/>
    <s v="Jim Radford"/>
    <x v="2"/>
    <x v="1"/>
    <s v="Telephones and Communication"/>
    <s v="g5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D4367-75A9-4E94-8A66-EFCB4F2DE91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9" firstHeaderRow="1" firstDataRow="2" firstDataCol="1"/>
  <pivotFields count="8">
    <pivotField showAll="0"/>
    <pivotField numFmtId="14" showAll="0"/>
    <pivotField dataField="1"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Order Value" fld="2" baseField="0" baseItem="0"/>
  </dataFields>
  <chartFormats count="3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6390-7BF3-46B3-B3D8-8B5DBE23D00E}">
  <dimension ref="A3:E9"/>
  <sheetViews>
    <sheetView tabSelected="1" workbookViewId="0">
      <selection activeCell="A3" sqref="A3:E9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3" width="13.5546875" bestFit="1" customWidth="1"/>
    <col min="4" max="4" width="10.77734375" bestFit="1" customWidth="1"/>
    <col min="5" max="5" width="11" bestFit="1" customWidth="1"/>
  </cols>
  <sheetData>
    <row r="3" spans="1:5" x14ac:dyDescent="0.3">
      <c r="A3" s="18" t="s">
        <v>63</v>
      </c>
      <c r="B3" s="18" t="s">
        <v>60</v>
      </c>
    </row>
    <row r="4" spans="1:5" x14ac:dyDescent="0.3">
      <c r="A4" s="18" t="s">
        <v>62</v>
      </c>
      <c r="B4" t="s">
        <v>24</v>
      </c>
      <c r="C4" t="s">
        <v>8</v>
      </c>
      <c r="D4" t="s">
        <v>19</v>
      </c>
      <c r="E4" t="s">
        <v>61</v>
      </c>
    </row>
    <row r="5" spans="1:5" x14ac:dyDescent="0.3">
      <c r="A5" s="19" t="s">
        <v>12</v>
      </c>
      <c r="B5" s="20">
        <v>1146.69</v>
      </c>
      <c r="C5" s="20">
        <v>10761.86</v>
      </c>
      <c r="D5" s="20"/>
      <c r="E5" s="20">
        <v>11908.550000000001</v>
      </c>
    </row>
    <row r="6" spans="1:5" x14ac:dyDescent="0.3">
      <c r="A6" s="19" t="s">
        <v>18</v>
      </c>
      <c r="B6" s="20"/>
      <c r="C6" s="20">
        <v>3780.44</v>
      </c>
      <c r="D6" s="20">
        <v>5800.6634999999987</v>
      </c>
      <c r="E6" s="20">
        <v>9581.1034999999993</v>
      </c>
    </row>
    <row r="7" spans="1:5" x14ac:dyDescent="0.3">
      <c r="A7" s="19" t="s">
        <v>33</v>
      </c>
      <c r="B7" s="20">
        <v>6941.503999999999</v>
      </c>
      <c r="C7" s="20">
        <v>1266.6599999999999</v>
      </c>
      <c r="D7" s="20">
        <v>1474.33</v>
      </c>
      <c r="E7" s="20">
        <v>9682.4939999999988</v>
      </c>
    </row>
    <row r="8" spans="1:5" x14ac:dyDescent="0.3">
      <c r="A8" s="19" t="s">
        <v>7</v>
      </c>
      <c r="B8" s="20"/>
      <c r="C8" s="20">
        <v>590.41000000000008</v>
      </c>
      <c r="D8" s="20"/>
      <c r="E8" s="20">
        <v>590.41000000000008</v>
      </c>
    </row>
    <row r="9" spans="1:5" x14ac:dyDescent="0.3">
      <c r="A9" s="19" t="s">
        <v>61</v>
      </c>
      <c r="B9" s="20">
        <v>8088.1939999999995</v>
      </c>
      <c r="C9" s="20">
        <v>16399.370000000003</v>
      </c>
      <c r="D9" s="20">
        <v>7274.9934999999987</v>
      </c>
      <c r="E9" s="20">
        <v>31762.557499999999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zoomScale="80" zoomScaleNormal="80" workbookViewId="0">
      <selection activeCell="A3" sqref="A3:H3"/>
    </sheetView>
  </sheetViews>
  <sheetFormatPr defaultRowHeight="14.4" x14ac:dyDescent="0.3"/>
  <cols>
    <col min="1" max="1" width="10.88671875" bestFit="1" customWidth="1"/>
    <col min="2" max="2" width="13.44140625" bestFit="1" customWidth="1"/>
    <col min="3" max="3" width="13.33203125" bestFit="1" customWidth="1"/>
    <col min="4" max="4" width="21.44140625" bestFit="1" customWidth="1"/>
    <col min="5" max="5" width="20.109375" bestFit="1" customWidth="1"/>
    <col min="6" max="6" width="18.6640625" bestFit="1" customWidth="1"/>
    <col min="7" max="7" width="30.33203125" bestFit="1" customWidth="1"/>
    <col min="8" max="8" width="63.6640625" style="11" customWidth="1"/>
  </cols>
  <sheetData>
    <row r="1" spans="1:8" ht="25.2" x14ac:dyDescent="0.5">
      <c r="A1" s="12" t="s">
        <v>58</v>
      </c>
      <c r="B1" s="13"/>
      <c r="C1" s="13"/>
      <c r="D1" s="13"/>
      <c r="E1" s="13"/>
      <c r="F1" s="13"/>
      <c r="G1" s="13"/>
      <c r="H1" s="14"/>
    </row>
    <row r="2" spans="1:8" ht="15.6" x14ac:dyDescent="0.3">
      <c r="A2" s="15" t="s">
        <v>59</v>
      </c>
      <c r="B2" s="16"/>
      <c r="C2" s="16"/>
      <c r="D2" s="16"/>
      <c r="E2" s="16"/>
      <c r="F2" s="16"/>
      <c r="G2" s="16"/>
      <c r="H2" s="17"/>
    </row>
    <row r="3" spans="1:8" x14ac:dyDescent="0.3">
      <c r="A3" s="6" t="s">
        <v>57</v>
      </c>
      <c r="B3" s="7" t="s">
        <v>0</v>
      </c>
      <c r="C3" s="7" t="s">
        <v>55</v>
      </c>
      <c r="D3" s="7" t="s">
        <v>1</v>
      </c>
      <c r="E3" s="7" t="s">
        <v>2</v>
      </c>
      <c r="F3" s="7" t="s">
        <v>3</v>
      </c>
      <c r="G3" s="7" t="s">
        <v>4</v>
      </c>
      <c r="H3" s="8" t="s">
        <v>5</v>
      </c>
    </row>
    <row r="4" spans="1:8" x14ac:dyDescent="0.3">
      <c r="A4" s="3">
        <v>1</v>
      </c>
      <c r="B4" s="4">
        <f>DATE(2012,12,31)-810</f>
        <v>40464</v>
      </c>
      <c r="C4" s="3">
        <v>261.54000000000002</v>
      </c>
      <c r="D4" s="5" t="s">
        <v>6</v>
      </c>
      <c r="E4" s="5" t="s">
        <v>7</v>
      </c>
      <c r="F4" s="5" t="s">
        <v>8</v>
      </c>
      <c r="G4" s="5" t="s">
        <v>9</v>
      </c>
      <c r="H4" s="9" t="s">
        <v>10</v>
      </c>
    </row>
    <row r="5" spans="1:8" x14ac:dyDescent="0.3">
      <c r="A5" s="3">
        <v>2</v>
      </c>
      <c r="B5" s="4">
        <f>DATE(2012,12,31)-91</f>
        <v>41183</v>
      </c>
      <c r="C5" s="3">
        <v>10123.02</v>
      </c>
      <c r="D5" s="5" t="s">
        <v>11</v>
      </c>
      <c r="E5" s="5" t="s">
        <v>12</v>
      </c>
      <c r="F5" s="5" t="s">
        <v>8</v>
      </c>
      <c r="G5" s="5" t="s">
        <v>13</v>
      </c>
      <c r="H5" s="9" t="s">
        <v>14</v>
      </c>
    </row>
    <row r="6" spans="1:8" x14ac:dyDescent="0.3">
      <c r="A6" s="3">
        <v>3</v>
      </c>
      <c r="B6" s="4">
        <f>DATE(2012,12,31)-91</f>
        <v>41183</v>
      </c>
      <c r="C6" s="3">
        <v>244.57</v>
      </c>
      <c r="D6" s="5" t="s">
        <v>11</v>
      </c>
      <c r="E6" s="5" t="s">
        <v>12</v>
      </c>
      <c r="F6" s="5" t="s">
        <v>8</v>
      </c>
      <c r="G6" s="5" t="s">
        <v>15</v>
      </c>
      <c r="H6" s="9" t="s">
        <v>16</v>
      </c>
    </row>
    <row r="7" spans="1:8" x14ac:dyDescent="0.3">
      <c r="A7" s="3">
        <v>4</v>
      </c>
      <c r="B7" s="4">
        <f>DATE(2012,12,31)-540</f>
        <v>40734</v>
      </c>
      <c r="C7" s="3">
        <v>4965.7594999999992</v>
      </c>
      <c r="D7" s="5" t="s">
        <v>17</v>
      </c>
      <c r="E7" s="5" t="s">
        <v>18</v>
      </c>
      <c r="F7" s="5" t="s">
        <v>19</v>
      </c>
      <c r="G7" s="5" t="s">
        <v>20</v>
      </c>
      <c r="H7" s="9" t="s">
        <v>21</v>
      </c>
    </row>
    <row r="8" spans="1:8" x14ac:dyDescent="0.3">
      <c r="A8" s="3">
        <v>5</v>
      </c>
      <c r="B8" s="4">
        <f>DATE(2012,12,31)-856</f>
        <v>40418</v>
      </c>
      <c r="C8" s="3">
        <v>394.27</v>
      </c>
      <c r="D8" s="5" t="s">
        <v>22</v>
      </c>
      <c r="E8" s="5" t="s">
        <v>12</v>
      </c>
      <c r="F8" s="5" t="s">
        <v>8</v>
      </c>
      <c r="G8" s="5" t="s">
        <v>13</v>
      </c>
      <c r="H8" s="9" t="s">
        <v>23</v>
      </c>
    </row>
    <row r="9" spans="1:8" x14ac:dyDescent="0.3">
      <c r="A9" s="3">
        <v>6</v>
      </c>
      <c r="B9" s="4">
        <f>DATE(2012,12,31)-856</f>
        <v>40418</v>
      </c>
      <c r="C9" s="3">
        <v>1146.69</v>
      </c>
      <c r="D9" s="5" t="s">
        <v>22</v>
      </c>
      <c r="E9" s="5" t="s">
        <v>12</v>
      </c>
      <c r="F9" s="5" t="s">
        <v>24</v>
      </c>
      <c r="G9" s="5" t="s">
        <v>25</v>
      </c>
      <c r="H9" s="9" t="s">
        <v>26</v>
      </c>
    </row>
    <row r="10" spans="1:8" x14ac:dyDescent="0.3">
      <c r="A10" s="3">
        <v>7</v>
      </c>
      <c r="B10" s="4">
        <f>DATE(2012,12,31)-563</f>
        <v>40711</v>
      </c>
      <c r="C10" s="3">
        <v>93.54</v>
      </c>
      <c r="D10" s="5" t="s">
        <v>27</v>
      </c>
      <c r="E10" s="5" t="s">
        <v>18</v>
      </c>
      <c r="F10" s="5" t="s">
        <v>8</v>
      </c>
      <c r="G10" s="5" t="s">
        <v>15</v>
      </c>
      <c r="H10" s="9" t="s">
        <v>28</v>
      </c>
    </row>
    <row r="11" spans="1:8" x14ac:dyDescent="0.3">
      <c r="A11" s="3">
        <v>8</v>
      </c>
      <c r="B11" s="4">
        <f>DATE(2012,12,31)-563</f>
        <v>40711</v>
      </c>
      <c r="C11" s="3">
        <v>905.08</v>
      </c>
      <c r="D11" s="5" t="s">
        <v>27</v>
      </c>
      <c r="E11" s="5" t="s">
        <v>18</v>
      </c>
      <c r="F11" s="5" t="s">
        <v>8</v>
      </c>
      <c r="G11" s="5" t="s">
        <v>9</v>
      </c>
      <c r="H11" s="9" t="s">
        <v>29</v>
      </c>
    </row>
    <row r="12" spans="1:8" x14ac:dyDescent="0.3">
      <c r="A12" s="3">
        <v>9</v>
      </c>
      <c r="B12" s="4">
        <f>DATE(2012,12,31)-648</f>
        <v>40626</v>
      </c>
      <c r="C12" s="3">
        <v>2781.82</v>
      </c>
      <c r="D12" s="5" t="s">
        <v>30</v>
      </c>
      <c r="E12" s="5" t="s">
        <v>18</v>
      </c>
      <c r="F12" s="5" t="s">
        <v>8</v>
      </c>
      <c r="G12" s="5" t="s">
        <v>9</v>
      </c>
      <c r="H12" s="9" t="s">
        <v>31</v>
      </c>
    </row>
    <row r="13" spans="1:8" x14ac:dyDescent="0.3">
      <c r="A13" s="3">
        <v>10</v>
      </c>
      <c r="B13" s="4">
        <f>DATE(2012,12,31)-1039</f>
        <v>40235</v>
      </c>
      <c r="C13" s="3">
        <v>228.41</v>
      </c>
      <c r="D13" s="5" t="s">
        <v>32</v>
      </c>
      <c r="E13" s="5" t="s">
        <v>33</v>
      </c>
      <c r="F13" s="5" t="s">
        <v>8</v>
      </c>
      <c r="G13" s="5" t="s">
        <v>34</v>
      </c>
      <c r="H13" s="9" t="s">
        <v>35</v>
      </c>
    </row>
    <row r="14" spans="1:8" x14ac:dyDescent="0.3">
      <c r="A14" s="3">
        <v>11</v>
      </c>
      <c r="B14" s="4">
        <f>DATE(2012,12,31)-769</f>
        <v>40505</v>
      </c>
      <c r="C14" s="3">
        <v>196.85</v>
      </c>
      <c r="D14" s="5" t="s">
        <v>36</v>
      </c>
      <c r="E14" s="5" t="s">
        <v>33</v>
      </c>
      <c r="F14" s="5" t="s">
        <v>8</v>
      </c>
      <c r="G14" s="5" t="s">
        <v>34</v>
      </c>
      <c r="H14" s="9" t="s">
        <v>37</v>
      </c>
    </row>
    <row r="15" spans="1:8" x14ac:dyDescent="0.3">
      <c r="A15" s="3">
        <v>12</v>
      </c>
      <c r="B15" s="4">
        <f>DATE(2012,12,31)-769</f>
        <v>40505</v>
      </c>
      <c r="C15" s="3">
        <v>124.56</v>
      </c>
      <c r="D15" s="5" t="s">
        <v>36</v>
      </c>
      <c r="E15" s="5" t="s">
        <v>33</v>
      </c>
      <c r="F15" s="5" t="s">
        <v>8</v>
      </c>
      <c r="G15" s="5" t="s">
        <v>38</v>
      </c>
      <c r="H15" s="9" t="s">
        <v>39</v>
      </c>
    </row>
    <row r="16" spans="1:8" x14ac:dyDescent="0.3">
      <c r="A16" s="3">
        <v>13</v>
      </c>
      <c r="B16" s="4">
        <f>DATE(2012,12,31)-206</f>
        <v>41068</v>
      </c>
      <c r="C16" s="3">
        <v>716.84</v>
      </c>
      <c r="D16" s="5" t="s">
        <v>40</v>
      </c>
      <c r="E16" s="5" t="s">
        <v>33</v>
      </c>
      <c r="F16" s="5" t="s">
        <v>8</v>
      </c>
      <c r="G16" s="5" t="s">
        <v>13</v>
      </c>
      <c r="H16" s="9" t="s">
        <v>23</v>
      </c>
    </row>
    <row r="17" spans="1:8" x14ac:dyDescent="0.3">
      <c r="A17" s="3">
        <v>14</v>
      </c>
      <c r="B17" s="4">
        <f>DATE(2012,12,31)-206</f>
        <v>41068</v>
      </c>
      <c r="C17" s="3">
        <v>1474.33</v>
      </c>
      <c r="D17" s="5" t="s">
        <v>40</v>
      </c>
      <c r="E17" s="5" t="s">
        <v>33</v>
      </c>
      <c r="F17" s="5" t="s">
        <v>19</v>
      </c>
      <c r="G17" s="5" t="s">
        <v>41</v>
      </c>
      <c r="H17" s="9" t="s">
        <v>42</v>
      </c>
    </row>
    <row r="18" spans="1:8" x14ac:dyDescent="0.3">
      <c r="A18" s="3">
        <v>15</v>
      </c>
      <c r="B18" s="4">
        <f>DATE(2012,12,31)-149</f>
        <v>41125</v>
      </c>
      <c r="C18" s="3">
        <v>80.61</v>
      </c>
      <c r="D18" s="5" t="s">
        <v>43</v>
      </c>
      <c r="E18" s="5" t="s">
        <v>7</v>
      </c>
      <c r="F18" s="5" t="s">
        <v>8</v>
      </c>
      <c r="G18" s="5" t="s">
        <v>15</v>
      </c>
      <c r="H18" s="9" t="s">
        <v>44</v>
      </c>
    </row>
    <row r="19" spans="1:8" x14ac:dyDescent="0.3">
      <c r="A19" s="3">
        <v>16</v>
      </c>
      <c r="B19" s="4">
        <f>DATE(2012,12,31)-581</f>
        <v>40693</v>
      </c>
      <c r="C19" s="3">
        <v>1815.49</v>
      </c>
      <c r="D19" s="5" t="s">
        <v>36</v>
      </c>
      <c r="E19" s="5" t="s">
        <v>33</v>
      </c>
      <c r="F19" s="5" t="s">
        <v>24</v>
      </c>
      <c r="G19" s="5" t="s">
        <v>25</v>
      </c>
      <c r="H19" s="9" t="s">
        <v>45</v>
      </c>
    </row>
    <row r="20" spans="1:8" x14ac:dyDescent="0.3">
      <c r="A20" s="3">
        <v>17</v>
      </c>
      <c r="B20" s="4">
        <f>DATE(2012,12,31)-1132</f>
        <v>40142</v>
      </c>
      <c r="C20" s="3">
        <v>248.26</v>
      </c>
      <c r="D20" s="5" t="s">
        <v>46</v>
      </c>
      <c r="E20" s="5" t="s">
        <v>7</v>
      </c>
      <c r="F20" s="5" t="s">
        <v>8</v>
      </c>
      <c r="G20" s="5" t="s">
        <v>47</v>
      </c>
      <c r="H20" s="9" t="s">
        <v>48</v>
      </c>
    </row>
    <row r="21" spans="1:8" x14ac:dyDescent="0.3">
      <c r="A21" s="3">
        <v>18</v>
      </c>
      <c r="B21" s="4">
        <f>DATE(2012,12,31)-321</f>
        <v>40953</v>
      </c>
      <c r="C21" s="3">
        <v>4462.2299999999996</v>
      </c>
      <c r="D21" s="5" t="s">
        <v>49</v>
      </c>
      <c r="E21" s="5" t="s">
        <v>33</v>
      </c>
      <c r="F21" s="5" t="s">
        <v>24</v>
      </c>
      <c r="G21" s="5" t="s">
        <v>50</v>
      </c>
      <c r="H21" s="9" t="s">
        <v>51</v>
      </c>
    </row>
    <row r="22" spans="1:8" x14ac:dyDescent="0.3">
      <c r="A22" s="3">
        <v>19</v>
      </c>
      <c r="B22" s="4">
        <f>DATE(2012,12,31)-321</f>
        <v>40953</v>
      </c>
      <c r="C22" s="3">
        <v>663.78400000000011</v>
      </c>
      <c r="D22" s="5" t="s">
        <v>49</v>
      </c>
      <c r="E22" s="5" t="s">
        <v>33</v>
      </c>
      <c r="F22" s="5" t="s">
        <v>24</v>
      </c>
      <c r="G22" s="5" t="s">
        <v>52</v>
      </c>
      <c r="H22" s="9" t="s">
        <v>56</v>
      </c>
    </row>
    <row r="23" spans="1:8" x14ac:dyDescent="0.3">
      <c r="A23" s="3">
        <v>20</v>
      </c>
      <c r="B23" s="4">
        <f>DATE(2012,12,31)-260</f>
        <v>41014</v>
      </c>
      <c r="C23" s="3">
        <v>834.904</v>
      </c>
      <c r="D23" s="5" t="s">
        <v>53</v>
      </c>
      <c r="E23" s="5" t="s">
        <v>18</v>
      </c>
      <c r="F23" s="5" t="s">
        <v>19</v>
      </c>
      <c r="G23" s="5" t="s">
        <v>20</v>
      </c>
      <c r="H23" s="9" t="s">
        <v>54</v>
      </c>
    </row>
    <row r="24" spans="1:8" x14ac:dyDescent="0.3">
      <c r="A24" s="1"/>
      <c r="B24" s="2"/>
      <c r="C24" s="1"/>
      <c r="H24" s="10"/>
    </row>
    <row r="25" spans="1:8" x14ac:dyDescent="0.3">
      <c r="A25" s="1"/>
      <c r="B25" s="2"/>
      <c r="C25" s="1"/>
      <c r="H25" s="10"/>
    </row>
    <row r="26" spans="1:8" x14ac:dyDescent="0.3">
      <c r="A26" s="1"/>
      <c r="B26" s="2"/>
      <c r="C26" s="1"/>
      <c r="H26" s="10"/>
    </row>
    <row r="27" spans="1:8" x14ac:dyDescent="0.3">
      <c r="A27" s="1"/>
      <c r="B27" s="2"/>
      <c r="C27" s="1"/>
      <c r="H27" s="10"/>
    </row>
    <row r="28" spans="1:8" x14ac:dyDescent="0.3">
      <c r="A28" s="1"/>
      <c r="B28" s="2"/>
      <c r="C28" s="1"/>
      <c r="H28" s="10"/>
    </row>
    <row r="29" spans="1:8" x14ac:dyDescent="0.3">
      <c r="A29" s="1"/>
      <c r="B29" s="2"/>
      <c r="C29" s="1"/>
      <c r="H29" s="10"/>
    </row>
    <row r="30" spans="1:8" x14ac:dyDescent="0.3">
      <c r="A30" s="1"/>
      <c r="B30" s="2"/>
      <c r="C30" s="1"/>
      <c r="H30" s="10"/>
    </row>
    <row r="31" spans="1:8" x14ac:dyDescent="0.3">
      <c r="A31" s="1"/>
      <c r="B31" s="2"/>
      <c r="C31" s="1"/>
      <c r="H31" s="10"/>
    </row>
    <row r="32" spans="1:8" x14ac:dyDescent="0.3">
      <c r="A32" s="1"/>
      <c r="B32" s="2"/>
      <c r="C32" s="1"/>
      <c r="H32" s="10"/>
    </row>
    <row r="33" spans="1:8" x14ac:dyDescent="0.3">
      <c r="A33" s="1"/>
      <c r="B33" s="2"/>
      <c r="C33" s="1"/>
      <c r="H33" s="10"/>
    </row>
    <row r="34" spans="1:8" x14ac:dyDescent="0.3">
      <c r="A34" s="1"/>
      <c r="B34" s="2"/>
      <c r="C34" s="1"/>
      <c r="H34" s="10"/>
    </row>
    <row r="35" spans="1:8" x14ac:dyDescent="0.3">
      <c r="A35" s="1"/>
      <c r="B35" s="2"/>
      <c r="C35" s="1"/>
      <c r="H35" s="10"/>
    </row>
    <row r="36" spans="1:8" x14ac:dyDescent="0.3">
      <c r="A36" s="1"/>
      <c r="B36" s="2"/>
      <c r="C36" s="1"/>
      <c r="H36" s="10"/>
    </row>
    <row r="37" spans="1:8" x14ac:dyDescent="0.3">
      <c r="A37" s="1"/>
      <c r="B37" s="2"/>
      <c r="C37" s="1"/>
      <c r="H37" s="10"/>
    </row>
    <row r="38" spans="1:8" x14ac:dyDescent="0.3">
      <c r="A38" s="1"/>
      <c r="B38" s="2"/>
      <c r="C38" s="1"/>
      <c r="H38" s="10"/>
    </row>
    <row r="39" spans="1:8" x14ac:dyDescent="0.3">
      <c r="A39" s="1"/>
      <c r="B39" s="2"/>
      <c r="C39" s="1"/>
      <c r="H39" s="10"/>
    </row>
    <row r="40" spans="1:8" x14ac:dyDescent="0.3">
      <c r="A40" s="1"/>
      <c r="B40" s="2"/>
      <c r="C40" s="1"/>
      <c r="H40" s="10"/>
    </row>
    <row r="41" spans="1:8" x14ac:dyDescent="0.3">
      <c r="A41" s="1"/>
      <c r="B41" s="2"/>
      <c r="C41" s="1"/>
      <c r="H41" s="10"/>
    </row>
    <row r="42" spans="1:8" x14ac:dyDescent="0.3">
      <c r="A42" s="1"/>
      <c r="B42" s="2"/>
      <c r="C42" s="1"/>
      <c r="H42" s="10"/>
    </row>
    <row r="43" spans="1:8" x14ac:dyDescent="0.3">
      <c r="A43" s="1"/>
      <c r="B43" s="2"/>
      <c r="C43" s="1"/>
      <c r="H43" s="10"/>
    </row>
    <row r="44" spans="1:8" x14ac:dyDescent="0.3">
      <c r="A44" s="1"/>
      <c r="B44" s="2"/>
      <c r="C44" s="1"/>
      <c r="H44" s="10"/>
    </row>
    <row r="45" spans="1:8" x14ac:dyDescent="0.3">
      <c r="A45" s="1"/>
      <c r="B45" s="2"/>
      <c r="C45" s="1"/>
      <c r="H45" s="10"/>
    </row>
    <row r="46" spans="1:8" x14ac:dyDescent="0.3">
      <c r="A46" s="1"/>
      <c r="B46" s="2"/>
      <c r="C46" s="1"/>
      <c r="H46" s="10"/>
    </row>
    <row r="47" spans="1:8" x14ac:dyDescent="0.3">
      <c r="A47" s="1"/>
      <c r="B47" s="2"/>
      <c r="C47" s="1"/>
      <c r="H47" s="10"/>
    </row>
    <row r="48" spans="1:8" x14ac:dyDescent="0.3">
      <c r="A48" s="1"/>
      <c r="B48" s="2"/>
      <c r="C48" s="1"/>
      <c r="H48" s="10"/>
    </row>
    <row r="49" spans="1:8" x14ac:dyDescent="0.3">
      <c r="A49" s="1"/>
      <c r="B49" s="2"/>
      <c r="C49" s="1"/>
      <c r="H49" s="10"/>
    </row>
    <row r="50" spans="1:8" x14ac:dyDescent="0.3">
      <c r="A50" s="1"/>
      <c r="B50" s="2"/>
      <c r="C50" s="1"/>
      <c r="H50" s="10"/>
    </row>
    <row r="51" spans="1:8" x14ac:dyDescent="0.3">
      <c r="A51" s="1"/>
      <c r="B51" s="2"/>
      <c r="C51" s="1"/>
      <c r="H51" s="10"/>
    </row>
    <row r="52" spans="1:8" x14ac:dyDescent="0.3">
      <c r="A52" s="1"/>
      <c r="B52" s="2"/>
      <c r="C52" s="1"/>
      <c r="H52" s="10"/>
    </row>
    <row r="53" spans="1:8" x14ac:dyDescent="0.3">
      <c r="A53" s="1"/>
      <c r="B53" s="2"/>
      <c r="C53" s="1"/>
      <c r="H53" s="10"/>
    </row>
    <row r="54" spans="1:8" x14ac:dyDescent="0.3">
      <c r="A54" s="1"/>
      <c r="B54" s="2"/>
      <c r="C54" s="1"/>
      <c r="H54" s="10"/>
    </row>
    <row r="55" spans="1:8" x14ac:dyDescent="0.3">
      <c r="A55" s="1"/>
      <c r="B55" s="2"/>
      <c r="C55" s="1"/>
      <c r="H55" s="10"/>
    </row>
    <row r="56" spans="1:8" x14ac:dyDescent="0.3">
      <c r="A56" s="1"/>
      <c r="B56" s="2"/>
      <c r="C56" s="1"/>
      <c r="H56" s="10"/>
    </row>
    <row r="57" spans="1:8" x14ac:dyDescent="0.3">
      <c r="A57" s="1"/>
      <c r="B57" s="2"/>
      <c r="C57" s="1"/>
      <c r="H57" s="10"/>
    </row>
    <row r="58" spans="1:8" x14ac:dyDescent="0.3">
      <c r="A58" s="1"/>
      <c r="B58" s="2"/>
      <c r="C58" s="1"/>
      <c r="H58" s="10"/>
    </row>
    <row r="59" spans="1:8" x14ac:dyDescent="0.3">
      <c r="A59" s="1"/>
      <c r="B59" s="2"/>
      <c r="C59" s="1"/>
      <c r="H59" s="10"/>
    </row>
    <row r="60" spans="1:8" x14ac:dyDescent="0.3">
      <c r="A60" s="1"/>
      <c r="B60" s="2"/>
      <c r="C60" s="1"/>
      <c r="H60" s="10"/>
    </row>
    <row r="61" spans="1:8" x14ac:dyDescent="0.3">
      <c r="A61" s="1"/>
      <c r="B61" s="2"/>
      <c r="C61" s="1"/>
      <c r="H61" s="10"/>
    </row>
    <row r="62" spans="1:8" x14ac:dyDescent="0.3">
      <c r="A62" s="1"/>
      <c r="B62" s="2"/>
      <c r="C62" s="1"/>
      <c r="H62" s="10"/>
    </row>
    <row r="63" spans="1:8" x14ac:dyDescent="0.3">
      <c r="A63" s="1"/>
      <c r="B63" s="2"/>
      <c r="C63" s="1"/>
      <c r="H63" s="10"/>
    </row>
    <row r="64" spans="1:8" x14ac:dyDescent="0.3">
      <c r="A64" s="1"/>
      <c r="B64" s="2"/>
      <c r="C64" s="1"/>
      <c r="H64" s="10"/>
    </row>
    <row r="65" spans="1:8" x14ac:dyDescent="0.3">
      <c r="A65" s="1"/>
      <c r="B65" s="2"/>
      <c r="C65" s="1"/>
      <c r="H65" s="10"/>
    </row>
    <row r="66" spans="1:8" x14ac:dyDescent="0.3">
      <c r="A66" s="1"/>
      <c r="B66" s="2"/>
      <c r="C66" s="1"/>
      <c r="H66" s="10"/>
    </row>
    <row r="67" spans="1:8" x14ac:dyDescent="0.3">
      <c r="A67" s="1"/>
      <c r="B67" s="2"/>
      <c r="C67" s="1"/>
      <c r="H67" s="10"/>
    </row>
    <row r="68" spans="1:8" x14ac:dyDescent="0.3">
      <c r="A68" s="1"/>
      <c r="B68" s="2"/>
      <c r="C68" s="1"/>
      <c r="H68" s="10"/>
    </row>
    <row r="69" spans="1:8" x14ac:dyDescent="0.3">
      <c r="A69" s="1"/>
      <c r="B69" s="2"/>
      <c r="C69" s="1"/>
      <c r="H69" s="10"/>
    </row>
    <row r="70" spans="1:8" x14ac:dyDescent="0.3">
      <c r="A70" s="1"/>
      <c r="B70" s="2"/>
      <c r="C70" s="1"/>
      <c r="H70" s="10"/>
    </row>
    <row r="71" spans="1:8" x14ac:dyDescent="0.3">
      <c r="A71" s="1"/>
      <c r="B71" s="2"/>
      <c r="C71" s="1"/>
      <c r="H71" s="10"/>
    </row>
    <row r="72" spans="1:8" x14ac:dyDescent="0.3">
      <c r="A72" s="1"/>
      <c r="B72" s="2"/>
      <c r="C72" s="1"/>
      <c r="H72" s="10"/>
    </row>
    <row r="73" spans="1:8" x14ac:dyDescent="0.3">
      <c r="A73" s="1"/>
      <c r="B73" s="2"/>
      <c r="C73" s="1"/>
      <c r="H73" s="10"/>
    </row>
    <row r="74" spans="1:8" x14ac:dyDescent="0.3">
      <c r="A74" s="1"/>
      <c r="B74" s="2"/>
      <c r="C74" s="1"/>
      <c r="H74" s="10"/>
    </row>
    <row r="75" spans="1:8" x14ac:dyDescent="0.3">
      <c r="A75" s="1"/>
      <c r="B75" s="2"/>
      <c r="C75" s="1"/>
      <c r="H75" s="10"/>
    </row>
    <row r="76" spans="1:8" x14ac:dyDescent="0.3">
      <c r="A76" s="1"/>
      <c r="B76" s="2"/>
      <c r="C76" s="1"/>
      <c r="H76" s="10"/>
    </row>
    <row r="77" spans="1:8" x14ac:dyDescent="0.3">
      <c r="A77" s="1"/>
      <c r="B77" s="2"/>
      <c r="C77" s="1"/>
      <c r="H77" s="10"/>
    </row>
    <row r="78" spans="1:8" x14ac:dyDescent="0.3">
      <c r="A78" s="1"/>
      <c r="B78" s="2"/>
      <c r="C78" s="1"/>
      <c r="H78" s="10"/>
    </row>
    <row r="79" spans="1:8" x14ac:dyDescent="0.3">
      <c r="A79" s="1"/>
      <c r="B79" s="2"/>
      <c r="C79" s="1"/>
      <c r="H79" s="10"/>
    </row>
    <row r="80" spans="1:8" x14ac:dyDescent="0.3">
      <c r="A80" s="1"/>
      <c r="B80" s="2"/>
      <c r="C80" s="1"/>
      <c r="H80" s="10"/>
    </row>
    <row r="81" spans="1:8" x14ac:dyDescent="0.3">
      <c r="A81" s="1"/>
      <c r="B81" s="2"/>
      <c r="C81" s="1"/>
      <c r="H81" s="10"/>
    </row>
    <row r="82" spans="1:8" x14ac:dyDescent="0.3">
      <c r="A82" s="1"/>
      <c r="B82" s="2"/>
      <c r="C82" s="1"/>
      <c r="H82" s="10"/>
    </row>
    <row r="83" spans="1:8" x14ac:dyDescent="0.3">
      <c r="A83" s="1"/>
      <c r="B83" s="2"/>
      <c r="C83" s="1"/>
      <c r="H83" s="10"/>
    </row>
    <row r="84" spans="1:8" x14ac:dyDescent="0.3">
      <c r="A84" s="1"/>
      <c r="B84" s="2"/>
      <c r="C84" s="1"/>
      <c r="H84" s="10"/>
    </row>
    <row r="85" spans="1:8" x14ac:dyDescent="0.3">
      <c r="A85" s="1"/>
      <c r="B85" s="2"/>
      <c r="C85" s="1"/>
      <c r="H85" s="10"/>
    </row>
    <row r="86" spans="1:8" x14ac:dyDescent="0.3">
      <c r="A86" s="1"/>
      <c r="B86" s="2"/>
      <c r="C86" s="1"/>
      <c r="H86" s="10"/>
    </row>
    <row r="87" spans="1:8" x14ac:dyDescent="0.3">
      <c r="A87" s="1"/>
      <c r="B87" s="2"/>
      <c r="C87" s="1"/>
      <c r="H87" s="10"/>
    </row>
    <row r="88" spans="1:8" x14ac:dyDescent="0.3">
      <c r="A88" s="1"/>
      <c r="B88" s="2"/>
      <c r="C88" s="1"/>
      <c r="H88" s="10"/>
    </row>
    <row r="89" spans="1:8" x14ac:dyDescent="0.3">
      <c r="A89" s="1"/>
      <c r="B89" s="2"/>
      <c r="C89" s="1"/>
      <c r="H89" s="10"/>
    </row>
    <row r="90" spans="1:8" x14ac:dyDescent="0.3">
      <c r="A90" s="1"/>
      <c r="B90" s="2"/>
      <c r="C90" s="1"/>
      <c r="H90" s="10"/>
    </row>
    <row r="91" spans="1:8" x14ac:dyDescent="0.3">
      <c r="A91" s="1"/>
      <c r="B91" s="2"/>
      <c r="C91" s="1"/>
      <c r="H91" s="10"/>
    </row>
    <row r="92" spans="1:8" x14ac:dyDescent="0.3">
      <c r="A92" s="1"/>
      <c r="B92" s="2"/>
      <c r="C92" s="1"/>
      <c r="H92" s="10"/>
    </row>
    <row r="93" spans="1:8" x14ac:dyDescent="0.3">
      <c r="A93" s="1"/>
      <c r="B93" s="2"/>
      <c r="C93" s="1"/>
      <c r="H93" s="10"/>
    </row>
    <row r="94" spans="1:8" x14ac:dyDescent="0.3">
      <c r="A94" s="1"/>
      <c r="B94" s="2"/>
      <c r="C94" s="1"/>
      <c r="H94" s="10"/>
    </row>
    <row r="95" spans="1:8" x14ac:dyDescent="0.3">
      <c r="A95" s="1"/>
      <c r="B95" s="2"/>
      <c r="C95" s="1"/>
      <c r="H95" s="10"/>
    </row>
    <row r="96" spans="1:8" x14ac:dyDescent="0.3">
      <c r="A96" s="1"/>
      <c r="B96" s="2"/>
      <c r="C96" s="1"/>
      <c r="H96" s="10"/>
    </row>
    <row r="97" spans="1:8" x14ac:dyDescent="0.3">
      <c r="A97" s="1"/>
      <c r="B97" s="2"/>
      <c r="C97" s="1"/>
      <c r="H97" s="10"/>
    </row>
    <row r="98" spans="1:8" x14ac:dyDescent="0.3">
      <c r="A98" s="1"/>
      <c r="B98" s="2"/>
      <c r="C98" s="1"/>
      <c r="H98" s="10"/>
    </row>
    <row r="99" spans="1:8" x14ac:dyDescent="0.3">
      <c r="A99" s="1"/>
      <c r="B99" s="2"/>
      <c r="C99" s="1"/>
      <c r="H99" s="10"/>
    </row>
    <row r="100" spans="1:8" x14ac:dyDescent="0.3">
      <c r="A100" s="1"/>
      <c r="B100" s="2"/>
      <c r="C100" s="1"/>
      <c r="H100" s="10"/>
    </row>
    <row r="101" spans="1:8" x14ac:dyDescent="0.3">
      <c r="A101" s="1"/>
      <c r="B101" s="2"/>
      <c r="C101" s="1"/>
      <c r="H101" s="10"/>
    </row>
    <row r="102" spans="1:8" x14ac:dyDescent="0.3">
      <c r="A102" s="1"/>
      <c r="B102" s="2"/>
      <c r="C102" s="1"/>
      <c r="H102" s="10"/>
    </row>
    <row r="103" spans="1:8" x14ac:dyDescent="0.3">
      <c r="A103" s="1"/>
      <c r="B103" s="2"/>
      <c r="C103" s="1"/>
      <c r="H103" s="10"/>
    </row>
    <row r="104" spans="1:8" x14ac:dyDescent="0.3">
      <c r="A104" s="1"/>
      <c r="B104" s="2"/>
      <c r="C104" s="1"/>
      <c r="H104" s="10"/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Shahaney</dc:creator>
  <cp:lastModifiedBy>pratiksha shetty</cp:lastModifiedBy>
  <dcterms:created xsi:type="dcterms:W3CDTF">2016-12-18T07:22:09Z</dcterms:created>
  <dcterms:modified xsi:type="dcterms:W3CDTF">2025-11-30T05:39:39Z</dcterms:modified>
</cp:coreProperties>
</file>